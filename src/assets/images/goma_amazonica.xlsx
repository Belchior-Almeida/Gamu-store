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ulação" sheetId="1" state="visible" r:id="rId3"/>
    <sheet name="Embalagem" sheetId="2" state="visible" r:id="rId4"/>
    <sheet name="Process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<sst xmlns="http://schemas.openxmlformats.org/spreadsheetml/2006/main" count="143" uniqueCount="134">
  <si>
    <t xml:space="preserve">FORMULAÇÃO DA GOMA DE MASCAR AMAZÔNICA</t>
  </si>
  <si>
    <t xml:space="preserve">Base de sapoti com ativos amazônicos — 5g por unidade</t>
  </si>
  <si>
    <t xml:space="preserve">Ingrediente</t>
  </si>
  <si>
    <t xml:space="preserve">Tipo</t>
  </si>
  <si>
    <t xml:space="preserve">Função</t>
  </si>
  <si>
    <t xml:space="preserve">Qtd. por goma (g)</t>
  </si>
  <si>
    <t xml:space="preserve">% na fórmula</t>
  </si>
  <si>
    <t xml:space="preserve">Preço/kg (R$)</t>
  </si>
  <si>
    <t xml:space="preserve">Custo/goma (R$)</t>
  </si>
  <si>
    <t xml:space="preserve">Confiança</t>
  </si>
  <si>
    <t xml:space="preserve">Base sapoti/chicle</t>
  </si>
  <si>
    <t xml:space="preserve">Goma natural</t>
  </si>
  <si>
    <t xml:space="preserve">Estrutura</t>
  </si>
  <si>
    <t xml:space="preserve">~ Estimado (FOB+import.)</t>
  </si>
  <si>
    <t xml:space="preserve">Guaraná</t>
  </si>
  <si>
    <t xml:space="preserve">Pó natural</t>
  </si>
  <si>
    <t xml:space="preserve">Ativo energético</t>
  </si>
  <si>
    <t xml:space="preserve">✓ Verificado (varejo)</t>
  </si>
  <si>
    <t xml:space="preserve">Cupuaçu</t>
  </si>
  <si>
    <t xml:space="preserve">Spray dried</t>
  </si>
  <si>
    <t xml:space="preserve">Sensorial</t>
  </si>
  <si>
    <t xml:space="preserve">~ Estimado (polpa+proc.)</t>
  </si>
  <si>
    <t xml:space="preserve">Glicerina vegetal</t>
  </si>
  <si>
    <t xml:space="preserve">USP aliment.</t>
  </si>
  <si>
    <t xml:space="preserve">Textura</t>
  </si>
  <si>
    <t xml:space="preserve">✓ Verificado (atacado)</t>
  </si>
  <si>
    <t xml:space="preserve">Camu-camu</t>
  </si>
  <si>
    <t xml:space="preserve">Liofilizado</t>
  </si>
  <si>
    <t xml:space="preserve">Ativo nutric. / Identit.</t>
  </si>
  <si>
    <t xml:space="preserve">∑ Calculado (cadeia prod.)</t>
  </si>
  <si>
    <t xml:space="preserve">TOTAL</t>
  </si>
  <si>
    <t xml:space="preserve">DOSES DIÁRIAS RECOMENDADAS (DDR) E ATIVOS</t>
  </si>
  <si>
    <t xml:space="preserve">Ativo</t>
  </si>
  <si>
    <t xml:space="preserve">DDR média</t>
  </si>
  <si>
    <t xml:space="preserve">10% DDR por goma</t>
  </si>
  <si>
    <t xml:space="preserve">3 gomas = 30% DDR</t>
  </si>
  <si>
    <t xml:space="preserve">Fonte DDR</t>
  </si>
  <si>
    <t xml:space="preserve">Cafeína (guaraná)</t>
  </si>
  <si>
    <t xml:space="preserve">400 mg</t>
  </si>
  <si>
    <t xml:space="preserve">40 mg</t>
  </si>
  <si>
    <t xml:space="preserve">120 mg</t>
  </si>
  <si>
    <t xml:space="preserve">ANVISA RDC 243/2018</t>
  </si>
  <si>
    <t xml:space="preserve">Vitamina C (camu-camu)</t>
  </si>
  <si>
    <t xml:space="preserve">82,5 mg</t>
  </si>
  <si>
    <t xml:space="preserve">8,25 mg</t>
  </si>
  <si>
    <t xml:space="preserve">24,75 mg</t>
  </si>
  <si>
    <t xml:space="preserve">RDA: 90mg homens / 75mg mulheres</t>
  </si>
  <si>
    <t xml:space="preserve">Base de cálculo: camu-camu liofilizado = 203mg vitamina C/g (Fonte: SCIRP 2015, polpa liofilizada a −70°C). Cafeína do guaraná = 40mg/g. Custo por goma inclui apenas ingredientes — processo, embalagem e margem não incluídos.</t>
  </si>
  <si>
    <t xml:space="preserve">ESPECIFICAÇÕES DE EMBALAGEM</t>
  </si>
  <si>
    <t xml:space="preserve">DIMENSÕES DO CHICLETE</t>
  </si>
  <si>
    <t xml:space="preserve">Parâmetro</t>
  </si>
  <si>
    <t xml:space="preserve">Valor</t>
  </si>
  <si>
    <t xml:space="preserve">Unidade</t>
  </si>
  <si>
    <t xml:space="preserve">Observação</t>
  </si>
  <si>
    <t xml:space="preserve">Comprimento</t>
  </si>
  <si>
    <t xml:space="preserve">cm</t>
  </si>
  <si>
    <t xml:space="preserve">Dimensão longitudinal</t>
  </si>
  <si>
    <t xml:space="preserve">Largura</t>
  </si>
  <si>
    <t xml:space="preserve">Dimensão transversal</t>
  </si>
  <si>
    <t xml:space="preserve">Altura/Espessura</t>
  </si>
  <si>
    <t xml:space="preserve">Dimensão vertical</t>
  </si>
  <si>
    <t xml:space="preserve">Peso por unidade</t>
  </si>
  <si>
    <t xml:space="preserve">g</t>
  </si>
  <si>
    <t xml:space="preserve">Peso da goma acabada</t>
  </si>
  <si>
    <t xml:space="preserve">Volume aprox.</t>
  </si>
  <si>
    <t xml:space="preserve">cm³</t>
  </si>
  <si>
    <t xml:space="preserve">Comprimento × Largura × Altura</t>
  </si>
  <si>
    <t xml:space="preserve">ENVOLTÓRIO INDIVIDUAL (por chiclete)</t>
  </si>
  <si>
    <t xml:space="preserve">Especificação</t>
  </si>
  <si>
    <t xml:space="preserve">Material</t>
  </si>
  <si>
    <t xml:space="preserve">Papel manteiga biodegradável</t>
  </si>
  <si>
    <t xml:space="preserve">Certificação</t>
  </si>
  <si>
    <t xml:space="preserve">Compostável / biodegradável</t>
  </si>
  <si>
    <t xml:space="preserve">Dimensão recomendada</t>
  </si>
  <si>
    <t xml:space="preserve">~12cm × 6cm (dobrado ao redor da goma)</t>
  </si>
  <si>
    <t xml:space="preserve">Finalidade</t>
  </si>
  <si>
    <t xml:space="preserve">Proteção individual, barreira à umidade</t>
  </si>
  <si>
    <t xml:space="preserve">Fechamento</t>
  </si>
  <si>
    <t xml:space="preserve">Dobra simples nas extremidades</t>
  </si>
  <si>
    <t xml:space="preserve">EMBALAGEM EXTERNA (5 unidades)</t>
  </si>
  <si>
    <t xml:space="preserve">Papel kraft biodegradável</t>
  </si>
  <si>
    <t xml:space="preserve">Reciclável / biodegradável / livre de plástico</t>
  </si>
  <si>
    <t xml:space="preserve">Conteúdo</t>
  </si>
  <si>
    <t xml:space="preserve">5 chicletes envoltados individualmente</t>
  </si>
  <si>
    <t xml:space="preserve">Dimensão interna mín.</t>
  </si>
  <si>
    <t xml:space="preserve">~22cm × 5cm × 3cm (com folga para 5 unidades)</t>
  </si>
  <si>
    <t xml:space="preserve">Dimensão do bloco (5 un.)</t>
  </si>
  <si>
    <t xml:space="preserve">~20cm × 4cm × 2,5cm (empilhados)</t>
  </si>
  <si>
    <t xml:space="preserve">Dobra + cola biodegradável ou lacre kraft</t>
  </si>
  <si>
    <t xml:space="preserve">Impressão</t>
  </si>
  <si>
    <t xml:space="preserve">Tinta à base de água — informações nutricionais e marca</t>
  </si>
  <si>
    <t xml:space="preserve">Sustentabilidade</t>
  </si>
  <si>
    <t xml:space="preserve">100% biodegradável, sem plástico, compostável</t>
  </si>
  <si>
    <t xml:space="preserve">PROCESSO DE FABRICAÇÃO</t>
  </si>
  <si>
    <t xml:space="preserve">Etapa</t>
  </si>
  <si>
    <t xml:space="preserve">Nome</t>
  </si>
  <si>
    <t xml:space="preserve">Descrição</t>
  </si>
  <si>
    <t xml:space="preserve">Temperatura / Condição</t>
  </si>
  <si>
    <t xml:space="preserve">1</t>
  </si>
  <si>
    <t xml:space="preserve">Purificação da base</t>
  </si>
  <si>
    <t xml:space="preserve">Fervura do látex de sapoti para remoção de impurezas e excesso de água</t>
  </si>
  <si>
    <t xml:space="preserve">~100°C / ~2 horas</t>
  </si>
  <si>
    <t xml:space="preserve">2</t>
  </si>
  <si>
    <t xml:space="preserve">Resfriamento</t>
  </si>
  <si>
    <t xml:space="preserve">Aguardar a massa resfriar naturalmente até a faixa segura para os ativos</t>
  </si>
  <si>
    <t xml:space="preserve">Até 50–60°C</t>
  </si>
  <si>
    <t xml:space="preserve">3</t>
  </si>
  <si>
    <t xml:space="preserve">Adição da glicerina</t>
  </si>
  <si>
    <t xml:space="preserve">Incorporar glicerina vegetal USP na massa para plastificar e umectar</t>
  </si>
  <si>
    <t xml:space="preserve">50–60°C</t>
  </si>
  <si>
    <t xml:space="preserve">4</t>
  </si>
  <si>
    <t xml:space="preserve">Mistura dos ativos</t>
  </si>
  <si>
    <t xml:space="preserve">Adicionar guaraná em pó e camu-camu liofilizado com agitação constante</t>
  </si>
  <si>
    <t xml:space="preserve">50–60°C / 12–15 min</t>
  </si>
  <si>
    <t xml:space="preserve">5</t>
  </si>
  <si>
    <t xml:space="preserve">Adição do cupuaçu</t>
  </si>
  <si>
    <t xml:space="preserve">Incorporar cupuaçu spray dried nos últimos minutos para preservar o aroma</t>
  </si>
  <si>
    <t xml:space="preserve">50–60°C / últimos 3–5 min</t>
  </si>
  <si>
    <t xml:space="preserve">6</t>
  </si>
  <si>
    <t xml:space="preserve">Moldagem</t>
  </si>
  <si>
    <t xml:space="preserve">Extrudar ou moldar a massa em formato 4cm × 1,5cm × 1cm</t>
  </si>
  <si>
    <t xml:space="preserve">Ambiente controlado</t>
  </si>
  <si>
    <t xml:space="preserve">7</t>
  </si>
  <si>
    <t xml:space="preserve">Resfriamento final</t>
  </si>
  <si>
    <t xml:space="preserve">Resfriar as gomas até ficarem firmes o suficiente para embalagem</t>
  </si>
  <si>
    <t xml:space="preserve">15–20°C / ~24 horas</t>
  </si>
  <si>
    <t xml:space="preserve">8</t>
  </si>
  <si>
    <t xml:space="preserve">Embalagem individual</t>
  </si>
  <si>
    <t xml:space="preserve">Envolver cada goma em papel manteiga biodegradável</t>
  </si>
  <si>
    <t xml:space="preserve">Ambiente seco</t>
  </si>
  <si>
    <t xml:space="preserve">9</t>
  </si>
  <si>
    <t xml:space="preserve">Embalagem externa</t>
  </si>
  <si>
    <t xml:space="preserve">Agrupar 5 unidades em embalagem de papel kraft biodegradável</t>
  </si>
  <si>
    <t xml:space="preserve">JUSTIFICATIVA: A adição dos ativos abaixo de 60°C preserva a vitamina C do camu-camu (instável acima de 70°C) e a cafeína do guaraná (estável até 178°C). O cupuaçu entra por último para minimizar a volatilização dos compostos aromáticos.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</si>
</sst>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%"/>
    <numFmt numFmtId="167" formatCode="&quot;R$ &quot;#,##0.00"/>
    <numFmt numFmtId="168" formatCode="&quot;R$ &quot;#,##0.000"/>
    <numFmt numFmtId="169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2D8A4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sz val="9"/>
      <color rgb="FF1A5C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1"/>
      <color rgb="FF1D6B3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D6B3A"/>
        <bgColor rgb="FF2D8A4E"/>
      </patternFill>
    </fill>
    <fill>
      <patternFill patternType="solid">
        <fgColor rgb="FF2D8A4E"/>
        <bgColor rgb="FF1D6B3A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C8E6D4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B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1A5C8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D8A4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5" hidden="false" customHeight="false" outlineLevel="0" collapsed="false">
      <c r="A4" s="4" t="s">
        <v>10</v>
      </c>
      <c r="B4" s="5" t="s">
        <v>11</v>
      </c>
      <c r="C4" s="5" t="s">
        <v>12</v>
      </c>
      <c r="D4" s="6" t="n">
        <v>3.359</v>
      </c>
      <c r="E4" s="7" t="n">
        <f aca="false">D4/5</f>
        <v>0.6718</v>
      </c>
      <c r="F4" s="8" t="n">
        <v>200</v>
      </c>
      <c r="G4" s="9" t="n">
        <f aca="false">D4*F4/1000</f>
        <v>0.6718</v>
      </c>
      <c r="H4" s="10" t="s">
        <v>13</v>
      </c>
    </row>
    <row r="5" customFormat="false" ht="15" hidden="false" customHeight="false" outlineLevel="0" collapsed="false">
      <c r="A5" s="11" t="s">
        <v>14</v>
      </c>
      <c r="B5" s="12" t="s">
        <v>15</v>
      </c>
      <c r="C5" s="12" t="s">
        <v>16</v>
      </c>
      <c r="D5" s="13" t="n">
        <v>1</v>
      </c>
      <c r="E5" s="14" t="n">
        <f aca="false">D5/5</f>
        <v>0.2</v>
      </c>
      <c r="F5" s="15" t="n">
        <v>168</v>
      </c>
      <c r="G5" s="16" t="n">
        <f aca="false">D5*F5/1000</f>
        <v>0.168</v>
      </c>
      <c r="H5" s="17" t="s">
        <v>17</v>
      </c>
    </row>
    <row r="6" customFormat="false" ht="15" hidden="false" customHeight="false" outlineLevel="0" collapsed="false">
      <c r="A6" s="4" t="s">
        <v>18</v>
      </c>
      <c r="B6" s="5" t="s">
        <v>19</v>
      </c>
      <c r="C6" s="5" t="s">
        <v>20</v>
      </c>
      <c r="D6" s="6" t="n">
        <v>0.583</v>
      </c>
      <c r="E6" s="7" t="n">
        <f aca="false">D6/5</f>
        <v>0.1166</v>
      </c>
      <c r="F6" s="8" t="n">
        <v>150</v>
      </c>
      <c r="G6" s="9" t="n">
        <f aca="false">D6*F6/1000</f>
        <v>0.08745</v>
      </c>
      <c r="H6" s="10" t="s">
        <v>21</v>
      </c>
    </row>
    <row r="7" customFormat="false" ht="15" hidden="false" customHeight="false" outlineLevel="0" collapsed="false">
      <c r="A7" s="11" t="s">
        <v>22</v>
      </c>
      <c r="B7" s="12" t="s">
        <v>23</v>
      </c>
      <c r="C7" s="12" t="s">
        <v>24</v>
      </c>
      <c r="D7" s="13" t="n">
        <v>0.3</v>
      </c>
      <c r="E7" s="14" t="n">
        <f aca="false">D7/5</f>
        <v>0.06</v>
      </c>
      <c r="F7" s="15" t="n">
        <v>3.3</v>
      </c>
      <c r="G7" s="16" t="n">
        <f aca="false">D7*F7/1000</f>
        <v>0.00099</v>
      </c>
      <c r="H7" s="17" t="s">
        <v>25</v>
      </c>
    </row>
    <row r="8" customFormat="false" ht="15" hidden="false" customHeight="false" outlineLevel="0" collapsed="false">
      <c r="A8" s="4" t="s">
        <v>26</v>
      </c>
      <c r="B8" s="5" t="s">
        <v>27</v>
      </c>
      <c r="C8" s="5" t="s">
        <v>28</v>
      </c>
      <c r="D8" s="6" t="n">
        <v>0.041</v>
      </c>
      <c r="E8" s="7" t="n">
        <f aca="false">D8/5</f>
        <v>0.0082</v>
      </c>
      <c r="F8" s="8" t="n">
        <v>225</v>
      </c>
      <c r="G8" s="9" t="n">
        <f aca="false">D8*F8/1000</f>
        <v>0.009225</v>
      </c>
      <c r="H8" s="10" t="s">
        <v>29</v>
      </c>
    </row>
    <row r="9" customFormat="false" ht="15" hidden="false" customHeight="false" outlineLevel="0" collapsed="false">
      <c r="A9" s="18" t="s">
        <v>30</v>
      </c>
      <c r="B9" s="18"/>
      <c r="C9" s="18"/>
      <c r="D9" s="19" t="n">
        <f aca="false">SUM(D4:D8)</f>
        <v>5.283</v>
      </c>
      <c r="E9" s="20" t="n">
        <f aca="false">SUM(E4:E8)</f>
        <v>1.0566</v>
      </c>
      <c r="F9" s="21"/>
      <c r="G9" s="22" t="n">
        <f aca="false">SUM(G4:G8)</f>
        <v>0.937465</v>
      </c>
      <c r="H9" s="21"/>
    </row>
    <row r="11" customFormat="false" ht="21.75" hidden="false" customHeight="true" outlineLevel="0" collapsed="false">
      <c r="A11" s="23" t="s">
        <v>31</v>
      </c>
      <c r="B11" s="23"/>
      <c r="C11" s="23"/>
      <c r="D11" s="23"/>
      <c r="E11" s="23"/>
      <c r="F11" s="23"/>
      <c r="G11" s="23"/>
      <c r="H11" s="23"/>
    </row>
    <row r="12" customFormat="false" ht="15" hidden="false" customHeight="false" outlineLevel="0" collapsed="false">
      <c r="A12" s="24" t="s">
        <v>32</v>
      </c>
      <c r="B12" s="25" t="s">
        <v>33</v>
      </c>
      <c r="C12" s="25" t="s">
        <v>34</v>
      </c>
      <c r="D12" s="25" t="s">
        <v>35</v>
      </c>
      <c r="E12" s="25" t="s">
        <v>36</v>
      </c>
      <c r="F12" s="26"/>
      <c r="G12" s="26"/>
      <c r="H12" s="26"/>
    </row>
    <row r="13" customFormat="false" ht="15" hidden="false" customHeight="false" outlineLevel="0" collapsed="false">
      <c r="A13" s="27" t="s">
        <v>37</v>
      </c>
      <c r="B13" s="28" t="s">
        <v>38</v>
      </c>
      <c r="C13" s="28" t="s">
        <v>39</v>
      </c>
      <c r="D13" s="28" t="s">
        <v>40</v>
      </c>
      <c r="E13" s="28" t="s">
        <v>41</v>
      </c>
      <c r="F13" s="29"/>
      <c r="G13" s="29"/>
      <c r="H13" s="29"/>
    </row>
    <row r="14" customFormat="false" ht="15" hidden="false" customHeight="false" outlineLevel="0" collapsed="false">
      <c r="A14" s="30" t="s">
        <v>42</v>
      </c>
      <c r="B14" s="31" t="s">
        <v>43</v>
      </c>
      <c r="C14" s="31" t="s">
        <v>44</v>
      </c>
      <c r="D14" s="31" t="s">
        <v>45</v>
      </c>
      <c r="E14" s="31" t="s">
        <v>46</v>
      </c>
      <c r="F14" s="32"/>
      <c r="G14" s="32"/>
      <c r="H14" s="32"/>
    </row>
    <row r="16" customFormat="false" ht="36" hidden="false" customHeight="true" outlineLevel="0" collapsed="false">
      <c r="A16" s="33" t="s">
        <v>47</v>
      </c>
      <c r="B16" s="33"/>
      <c r="C16" s="33"/>
      <c r="D16" s="33"/>
      <c r="E16" s="33"/>
      <c r="F16" s="33"/>
      <c r="G16" s="33"/>
      <c r="H16" s="33"/>
    </row>
  </sheetData>
  <mergeCells count="5">
    <mergeCell ref="A1:H1"/>
    <mergeCell ref="A2:H2"/>
    <mergeCell ref="A9:C9"/>
    <mergeCell ref="A11:H11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0"/>
    <col collapsed="false" customWidth="true" hidden="false" outlineLevel="0" max="5" min="5" style="0" width="28"/>
  </cols>
  <sheetData>
    <row r="1" customFormat="false" ht="39.75" hidden="false" customHeight="true" outlineLevel="0" collapsed="false">
      <c r="A1" s="1" t="s">
        <v>48</v>
      </c>
      <c r="B1" s="1"/>
      <c r="C1" s="1"/>
      <c r="D1" s="1"/>
      <c r="E1" s="1"/>
    </row>
    <row r="3" customFormat="false" ht="15" hidden="false" customHeight="false" outlineLevel="0" collapsed="false">
      <c r="A3" s="34" t="s">
        <v>49</v>
      </c>
      <c r="B3" s="34"/>
      <c r="C3" s="34"/>
      <c r="D3" s="34"/>
      <c r="E3" s="34"/>
    </row>
    <row r="4" customFormat="false" ht="15" hidden="false" customHeight="false" outlineLevel="0" collapsed="false">
      <c r="A4" s="35" t="s">
        <v>50</v>
      </c>
      <c r="B4" s="36" t="s">
        <v>51</v>
      </c>
      <c r="C4" s="36" t="s">
        <v>52</v>
      </c>
      <c r="D4" s="36" t="s">
        <v>53</v>
      </c>
    </row>
    <row r="5" customFormat="false" ht="15" hidden="false" customHeight="false" outlineLevel="0" collapsed="false">
      <c r="A5" s="37" t="s">
        <v>54</v>
      </c>
      <c r="B5" s="38" t="n">
        <v>4</v>
      </c>
      <c r="C5" s="38" t="s">
        <v>55</v>
      </c>
      <c r="D5" s="38" t="s">
        <v>56</v>
      </c>
    </row>
    <row r="6" customFormat="false" ht="15" hidden="false" customHeight="false" outlineLevel="0" collapsed="false">
      <c r="A6" s="39" t="s">
        <v>57</v>
      </c>
      <c r="B6" s="40" t="n">
        <v>1.5</v>
      </c>
      <c r="C6" s="40" t="s">
        <v>55</v>
      </c>
      <c r="D6" s="40" t="s">
        <v>58</v>
      </c>
    </row>
    <row r="7" customFormat="false" ht="15" hidden="false" customHeight="false" outlineLevel="0" collapsed="false">
      <c r="A7" s="37" t="s">
        <v>59</v>
      </c>
      <c r="B7" s="38" t="n">
        <v>1</v>
      </c>
      <c r="C7" s="38" t="s">
        <v>55</v>
      </c>
      <c r="D7" s="38" t="s">
        <v>60</v>
      </c>
    </row>
    <row r="8" customFormat="false" ht="15" hidden="false" customHeight="false" outlineLevel="0" collapsed="false">
      <c r="A8" s="39" t="s">
        <v>61</v>
      </c>
      <c r="B8" s="40" t="n">
        <v>5</v>
      </c>
      <c r="C8" s="40" t="s">
        <v>62</v>
      </c>
      <c r="D8" s="40" t="s">
        <v>63</v>
      </c>
    </row>
    <row r="9" customFormat="false" ht="15" hidden="false" customHeight="false" outlineLevel="0" collapsed="false">
      <c r="A9" s="37" t="s">
        <v>64</v>
      </c>
      <c r="B9" s="41" t="n">
        <f aca="false">B5*B6*B7</f>
        <v>6</v>
      </c>
      <c r="C9" s="38" t="s">
        <v>65</v>
      </c>
      <c r="D9" s="38" t="s">
        <v>66</v>
      </c>
    </row>
    <row r="11" customFormat="false" ht="15" hidden="false" customHeight="false" outlineLevel="0" collapsed="false">
      <c r="A11" s="34" t="s">
        <v>67</v>
      </c>
      <c r="B11" s="34"/>
      <c r="C11" s="34"/>
      <c r="D11" s="34"/>
      <c r="E11" s="34"/>
    </row>
    <row r="12" customFormat="false" ht="15" hidden="false" customHeight="false" outlineLevel="0" collapsed="false">
      <c r="A12" s="24" t="s">
        <v>50</v>
      </c>
      <c r="B12" s="42" t="s">
        <v>68</v>
      </c>
      <c r="C12" s="42"/>
      <c r="D12" s="42"/>
      <c r="E12" s="42"/>
    </row>
    <row r="13" customFormat="false" ht="15" hidden="false" customHeight="false" outlineLevel="0" collapsed="false">
      <c r="A13" s="27" t="s">
        <v>69</v>
      </c>
      <c r="B13" s="43" t="s">
        <v>70</v>
      </c>
      <c r="C13" s="43"/>
      <c r="D13" s="43"/>
      <c r="E13" s="43"/>
    </row>
    <row r="14" customFormat="false" ht="15" hidden="false" customHeight="false" outlineLevel="0" collapsed="false">
      <c r="A14" s="30" t="s">
        <v>71</v>
      </c>
      <c r="B14" s="44" t="s">
        <v>72</v>
      </c>
      <c r="C14" s="44"/>
      <c r="D14" s="44"/>
      <c r="E14" s="44"/>
    </row>
    <row r="15" customFormat="false" ht="15" hidden="false" customHeight="false" outlineLevel="0" collapsed="false">
      <c r="A15" s="27" t="s">
        <v>73</v>
      </c>
      <c r="B15" s="43" t="s">
        <v>74</v>
      </c>
      <c r="C15" s="43"/>
      <c r="D15" s="43"/>
      <c r="E15" s="43"/>
    </row>
    <row r="16" customFormat="false" ht="15" hidden="false" customHeight="false" outlineLevel="0" collapsed="false">
      <c r="A16" s="30" t="s">
        <v>75</v>
      </c>
      <c r="B16" s="44" t="s">
        <v>76</v>
      </c>
      <c r="C16" s="44"/>
      <c r="D16" s="44"/>
      <c r="E16" s="44"/>
    </row>
    <row r="17" customFormat="false" ht="15" hidden="false" customHeight="false" outlineLevel="0" collapsed="false">
      <c r="A17" s="27" t="s">
        <v>77</v>
      </c>
      <c r="B17" s="43" t="s">
        <v>78</v>
      </c>
      <c r="C17" s="43"/>
      <c r="D17" s="43"/>
      <c r="E17" s="43"/>
    </row>
    <row r="19" customFormat="false" ht="15" hidden="false" customHeight="false" outlineLevel="0" collapsed="false">
      <c r="A19" s="34" t="s">
        <v>79</v>
      </c>
      <c r="B19" s="34"/>
      <c r="C19" s="34"/>
      <c r="D19" s="34"/>
      <c r="E19" s="34"/>
    </row>
    <row r="20" customFormat="false" ht="18" hidden="false" customHeight="true" outlineLevel="0" collapsed="false">
      <c r="A20" s="24" t="s">
        <v>50</v>
      </c>
      <c r="B20" s="45" t="s">
        <v>68</v>
      </c>
      <c r="C20" s="45"/>
      <c r="D20" s="45"/>
      <c r="E20" s="45"/>
    </row>
    <row r="21" customFormat="false" ht="18" hidden="false" customHeight="true" outlineLevel="0" collapsed="false">
      <c r="A21" s="27" t="s">
        <v>69</v>
      </c>
      <c r="B21" s="46" t="s">
        <v>80</v>
      </c>
      <c r="C21" s="46"/>
      <c r="D21" s="46"/>
      <c r="E21" s="46"/>
    </row>
    <row r="22" customFormat="false" ht="18" hidden="false" customHeight="true" outlineLevel="0" collapsed="false">
      <c r="A22" s="30" t="s">
        <v>71</v>
      </c>
      <c r="B22" s="47" t="s">
        <v>81</v>
      </c>
      <c r="C22" s="47"/>
      <c r="D22" s="47"/>
      <c r="E22" s="47"/>
    </row>
    <row r="23" customFormat="false" ht="18" hidden="false" customHeight="true" outlineLevel="0" collapsed="false">
      <c r="A23" s="27" t="s">
        <v>82</v>
      </c>
      <c r="B23" s="46" t="s">
        <v>83</v>
      </c>
      <c r="C23" s="46"/>
      <c r="D23" s="46"/>
      <c r="E23" s="46"/>
    </row>
    <row r="24" customFormat="false" ht="18" hidden="false" customHeight="true" outlineLevel="0" collapsed="false">
      <c r="A24" s="30" t="s">
        <v>84</v>
      </c>
      <c r="B24" s="47" t="s">
        <v>85</v>
      </c>
      <c r="C24" s="47"/>
      <c r="D24" s="47"/>
      <c r="E24" s="47"/>
    </row>
    <row r="25" customFormat="false" ht="18" hidden="false" customHeight="true" outlineLevel="0" collapsed="false">
      <c r="A25" s="27" t="s">
        <v>86</v>
      </c>
      <c r="B25" s="46" t="s">
        <v>87</v>
      </c>
      <c r="C25" s="46"/>
      <c r="D25" s="46"/>
      <c r="E25" s="46"/>
    </row>
    <row r="26" customFormat="false" ht="18" hidden="false" customHeight="true" outlineLevel="0" collapsed="false">
      <c r="A26" s="30" t="s">
        <v>77</v>
      </c>
      <c r="B26" s="47" t="s">
        <v>88</v>
      </c>
      <c r="C26" s="47"/>
      <c r="D26" s="47"/>
      <c r="E26" s="47"/>
    </row>
    <row r="27" customFormat="false" ht="18" hidden="false" customHeight="true" outlineLevel="0" collapsed="false">
      <c r="A27" s="27" t="s">
        <v>89</v>
      </c>
      <c r="B27" s="46" t="s">
        <v>90</v>
      </c>
      <c r="C27" s="46"/>
      <c r="D27" s="46"/>
      <c r="E27" s="46"/>
    </row>
    <row r="28" customFormat="false" ht="18" hidden="false" customHeight="true" outlineLevel="0" collapsed="false">
      <c r="A28" s="30" t="s">
        <v>91</v>
      </c>
      <c r="B28" s="47" t="s">
        <v>92</v>
      </c>
      <c r="C28" s="47"/>
      <c r="D28" s="47"/>
      <c r="E28" s="47"/>
    </row>
  </sheetData>
  <mergeCells count="19">
    <mergeCell ref="A1:E1"/>
    <mergeCell ref="A3:E3"/>
    <mergeCell ref="A11:E11"/>
    <mergeCell ref="B12:E12"/>
    <mergeCell ref="B13:E13"/>
    <mergeCell ref="B14:E14"/>
    <mergeCell ref="B15:E15"/>
    <mergeCell ref="B16:E16"/>
    <mergeCell ref="B17:E17"/>
    <mergeCell ref="A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25"/>
  </cols>
  <sheetData>
    <row r="1" customFormat="false" ht="39.75" hidden="false" customHeight="true" outlineLevel="0" collapsed="false">
      <c r="A1" s="1" t="s">
        <v>93</v>
      </c>
      <c r="B1" s="1"/>
      <c r="C1" s="1"/>
      <c r="D1" s="1"/>
    </row>
    <row r="3" customFormat="false" ht="30" hidden="false" customHeight="true" outlineLevel="0" collapsed="false">
      <c r="A3" s="48" t="s">
        <v>94</v>
      </c>
      <c r="B3" s="49" t="s">
        <v>95</v>
      </c>
      <c r="C3" s="49" t="s">
        <v>96</v>
      </c>
      <c r="D3" s="48" t="s">
        <v>97</v>
      </c>
    </row>
    <row r="4" customFormat="false" ht="30" hidden="false" customHeight="true" outlineLevel="0" collapsed="false">
      <c r="A4" s="50" t="s">
        <v>98</v>
      </c>
      <c r="B4" s="51" t="s">
        <v>99</v>
      </c>
      <c r="C4" s="51" t="s">
        <v>100</v>
      </c>
      <c r="D4" s="50" t="s">
        <v>101</v>
      </c>
    </row>
    <row r="5" customFormat="false" ht="30" hidden="false" customHeight="true" outlineLevel="0" collapsed="false">
      <c r="A5" s="52" t="s">
        <v>102</v>
      </c>
      <c r="B5" s="53" t="s">
        <v>103</v>
      </c>
      <c r="C5" s="53" t="s">
        <v>104</v>
      </c>
      <c r="D5" s="52" t="s">
        <v>105</v>
      </c>
    </row>
    <row r="6" customFormat="false" ht="30" hidden="false" customHeight="true" outlineLevel="0" collapsed="false">
      <c r="A6" s="50" t="s">
        <v>106</v>
      </c>
      <c r="B6" s="51" t="s">
        <v>107</v>
      </c>
      <c r="C6" s="51" t="s">
        <v>108</v>
      </c>
      <c r="D6" s="50" t="s">
        <v>109</v>
      </c>
    </row>
    <row r="7" customFormat="false" ht="30" hidden="false" customHeight="true" outlineLevel="0" collapsed="false">
      <c r="A7" s="52" t="s">
        <v>110</v>
      </c>
      <c r="B7" s="53" t="s">
        <v>111</v>
      </c>
      <c r="C7" s="53" t="s">
        <v>112</v>
      </c>
      <c r="D7" s="52" t="s">
        <v>113</v>
      </c>
    </row>
    <row r="8" customFormat="false" ht="30" hidden="false" customHeight="true" outlineLevel="0" collapsed="false">
      <c r="A8" s="50" t="s">
        <v>114</v>
      </c>
      <c r="B8" s="51" t="s">
        <v>115</v>
      </c>
      <c r="C8" s="51" t="s">
        <v>116</v>
      </c>
      <c r="D8" s="50" t="s">
        <v>117</v>
      </c>
    </row>
    <row r="9" customFormat="false" ht="30" hidden="false" customHeight="true" outlineLevel="0" collapsed="false">
      <c r="A9" s="52" t="s">
        <v>118</v>
      </c>
      <c r="B9" s="53" t="s">
        <v>119</v>
      </c>
      <c r="C9" s="53" t="s">
        <v>120</v>
      </c>
      <c r="D9" s="52" t="s">
        <v>121</v>
      </c>
    </row>
    <row r="10" customFormat="false" ht="30" hidden="false" customHeight="true" outlineLevel="0" collapsed="false">
      <c r="A10" s="50" t="s">
        <v>122</v>
      </c>
      <c r="B10" s="51" t="s">
        <v>123</v>
      </c>
      <c r="C10" s="51" t="s">
        <v>124</v>
      </c>
      <c r="D10" s="50" t="s">
        <v>125</v>
      </c>
    </row>
    <row r="11" customFormat="false" ht="30" hidden="false" customHeight="true" outlineLevel="0" collapsed="false">
      <c r="A11" s="52" t="s">
        <v>126</v>
      </c>
      <c r="B11" s="53" t="s">
        <v>127</v>
      </c>
      <c r="C11" s="53" t="s">
        <v>128</v>
      </c>
      <c r="D11" s="52" t="s">
        <v>129</v>
      </c>
    </row>
    <row r="12" customFormat="false" ht="30" hidden="false" customHeight="true" outlineLevel="0" collapsed="false">
      <c r="A12" s="50" t="s">
        <v>130</v>
      </c>
      <c r="B12" s="51" t="s">
        <v>131</v>
      </c>
      <c r="C12" s="51" t="s">
        <v>132</v>
      </c>
      <c r="D12" s="50" t="s">
        <v>129</v>
      </c>
    </row>
    <row r="14" customFormat="false" ht="48" hidden="false" customHeight="true" outlineLevel="0" collapsed="false">
      <c r="A14" s="33" t="s">
        <v>133</v>
      </c>
      <c r="B14" s="33"/>
      <c r="C14" s="33"/>
      <c r="D14" s="33"/>
    </row>
  </sheetData>
  <mergeCells count="2">
    <mergeCell ref="A1:D1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2026-05-20T20:27:47Z</dcterms:created>
  <dc:creator>openpyxl</dc:creator>
  <dc:description/>
  <dc:language>en-US</dc:language>
  <cp:lastModifiedBy/>
  <dcterms:modified xsi:type="dcterms:W3CDTF">2026-05-20T20:27:47Z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